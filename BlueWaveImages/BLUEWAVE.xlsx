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cb6c43904629df3f/Desktop/"/>
    </mc:Choice>
  </mc:AlternateContent>
  <xr:revisionPtr revIDLastSave="1" documentId="13_ncr:1_{895420F0-C2AB-4854-8493-FDD8C0265A2C}" xr6:coauthVersionLast="47" xr6:coauthVersionMax="47" xr10:uidLastSave="{61F4C012-37AE-4EE0-8F5F-2565549C532D}"/>
  <bookViews>
    <workbookView xWindow="-108" yWindow="-108" windowWidth="23256" windowHeight="12456" activeTab="1" xr2:uid="{F479D5D0-4137-4151-A237-8645B6C2A0EE}"/>
  </bookViews>
  <sheets>
    <sheet name="Bluewave" sheetId="1" r:id="rId1"/>
    <sheet name="STEPS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7" i="1" l="1"/>
  <c r="E14" i="1" s="1"/>
  <c r="E16" i="1" s="1"/>
  <c r="E18" i="1" s="1"/>
  <c r="E20" i="1" s="1"/>
  <c r="F7" i="1"/>
  <c r="F14" i="1" s="1"/>
  <c r="F16" i="1" s="1"/>
  <c r="F18" i="1" s="1"/>
  <c r="F20" i="1" s="1"/>
  <c r="G7" i="1"/>
  <c r="E13" i="1"/>
  <c r="F13" i="1"/>
  <c r="G13" i="1"/>
  <c r="G14" i="1"/>
  <c r="G16" i="1" s="1"/>
  <c r="G18" i="1" s="1"/>
  <c r="G20" i="1" s="1"/>
  <c r="E44" i="1"/>
  <c r="F44" i="1"/>
  <c r="G44" i="1"/>
  <c r="E61" i="1"/>
  <c r="F61" i="1"/>
  <c r="G61" i="1"/>
  <c r="E65" i="1"/>
  <c r="F65" i="1"/>
  <c r="G65" i="1"/>
  <c r="F26" i="1" l="1"/>
  <c r="F54" i="1"/>
  <c r="F57" i="1" s="1"/>
  <c r="F67" i="1" s="1"/>
  <c r="E26" i="1"/>
  <c r="E27" i="1" s="1"/>
  <c r="E54" i="1"/>
  <c r="E57" i="1" s="1"/>
  <c r="E67" i="1" s="1"/>
  <c r="E69" i="1" s="1"/>
  <c r="G26" i="1"/>
  <c r="G54" i="1"/>
  <c r="G57" i="1" s="1"/>
  <c r="G67" i="1" s="1"/>
  <c r="E33" i="1" l="1"/>
  <c r="E37" i="1" s="1"/>
  <c r="E39" i="1" s="1"/>
  <c r="F68" i="1"/>
  <c r="F69" i="1" s="1"/>
  <c r="F25" i="1"/>
  <c r="F27" i="1" s="1"/>
  <c r="E47" i="1"/>
  <c r="E48" i="1" s="1"/>
  <c r="E49" i="1" s="1"/>
  <c r="F33" i="1" l="1"/>
  <c r="F37" i="1" s="1"/>
  <c r="F39" i="1" s="1"/>
  <c r="G68" i="1"/>
  <c r="G69" i="1" s="1"/>
  <c r="G33" i="1" s="1"/>
  <c r="G37" i="1" s="1"/>
  <c r="G39" i="1" s="1"/>
  <c r="F47" i="1"/>
  <c r="F48" i="1" s="1"/>
  <c r="F49" i="1" s="1"/>
  <c r="G25" i="1"/>
  <c r="G27" i="1" s="1"/>
  <c r="G47" i="1" s="1"/>
  <c r="G48" i="1" s="1"/>
  <c r="G49" i="1" s="1"/>
</calcChain>
</file>

<file path=xl/sharedStrings.xml><?xml version="1.0" encoding="utf-8"?>
<sst xmlns="http://schemas.openxmlformats.org/spreadsheetml/2006/main" count="128" uniqueCount="100">
  <si>
    <t>Cash at End of Period</t>
  </si>
  <si>
    <t>Cash at Beginning of Period</t>
  </si>
  <si>
    <t>Net Increase in Cash</t>
  </si>
  <si>
    <t>Net Cash from Financing Activities</t>
  </si>
  <si>
    <t>Debt Repayments</t>
  </si>
  <si>
    <t>Financing Activities</t>
  </si>
  <si>
    <t>Net Cash from Investing Activities</t>
  </si>
  <si>
    <t>Capital Expenditures</t>
  </si>
  <si>
    <t>Investing Activities</t>
  </si>
  <si>
    <t>Net Cash from Operating Activities</t>
  </si>
  <si>
    <t>Changes in Working Capital</t>
  </si>
  <si>
    <t>Depreciation</t>
  </si>
  <si>
    <t>Net Profit</t>
  </si>
  <si>
    <t>Operating Activities</t>
  </si>
  <si>
    <t>Cashflow Statement</t>
  </si>
  <si>
    <t>Total Liabilities &amp; Equity</t>
  </si>
  <si>
    <t>Total Equity</t>
  </si>
  <si>
    <t>Retained Earnings</t>
  </si>
  <si>
    <t>Share Capital</t>
  </si>
  <si>
    <t>Equity</t>
  </si>
  <si>
    <t>Total Liabilities</t>
  </si>
  <si>
    <t>Long-Term Debt</t>
  </si>
  <si>
    <t>Current Liabilities</t>
  </si>
  <si>
    <t>Liabilities</t>
  </si>
  <si>
    <t>Total Assets</t>
  </si>
  <si>
    <t>Fixed Assets</t>
  </si>
  <si>
    <t>Total Current Assets</t>
  </si>
  <si>
    <t>- Other Current Assets</t>
  </si>
  <si>
    <t>- Inventory</t>
  </si>
  <si>
    <t>- Accounts Receivable</t>
  </si>
  <si>
    <t>- Cash (from Cash Flow)</t>
  </si>
  <si>
    <t>Current Assets</t>
  </si>
  <si>
    <t>Assets</t>
  </si>
  <si>
    <t>Balance Sheet</t>
  </si>
  <si>
    <t>Closing Retained Earnings</t>
  </si>
  <si>
    <t>Opening Retained Earnings</t>
  </si>
  <si>
    <t>Retained Earnings Schedule</t>
  </si>
  <si>
    <t>Taxes</t>
  </si>
  <si>
    <t>Profit before income tax</t>
  </si>
  <si>
    <t>Interest Expense</t>
  </si>
  <si>
    <t>Profit before Interest and Tax</t>
  </si>
  <si>
    <t>Other Expenses</t>
  </si>
  <si>
    <t>Profit from operating activity</t>
  </si>
  <si>
    <t>Total Operational Costs</t>
  </si>
  <si>
    <t>- General Expenses</t>
  </si>
  <si>
    <t>- Marketing Expenses</t>
  </si>
  <si>
    <t>- Selling Expenses</t>
  </si>
  <si>
    <t>- Administrative Expenses</t>
  </si>
  <si>
    <t>Operational Costs</t>
  </si>
  <si>
    <t>Gross Profit</t>
  </si>
  <si>
    <t>Cost of Sales</t>
  </si>
  <si>
    <t>Revenue</t>
  </si>
  <si>
    <t>Income Statement</t>
  </si>
  <si>
    <t xml:space="preserve">Three year Financial Statement </t>
  </si>
  <si>
    <t>Bluewave Logistics</t>
  </si>
  <si>
    <t>Step 1: Data Preparation</t>
  </si>
  <si>
    <t>Duplicate the Financial Statement</t>
  </si>
  <si>
    <t>•</t>
  </si>
  <si>
    <t>Separate Financial Statements</t>
  </si>
  <si>
    <t>Structuring the Income Statement</t>
  </si>
  <si>
    <t>Revenue → Revenue</t>
  </si>
  <si>
    <t>Cost of Sales → Cost of Sales</t>
  </si>
  <si>
    <t>Operating Expenses → Operating Expenses</t>
  </si>
  <si>
    <t>Finance Costs &amp; Taxes → Other Expenses</t>
  </si>
  <si>
    <t>Step-by-Step Financial Analysis in Power BI</t>
  </si>
  <si>
    <t>Step 2: Data Cleaning &amp; Transformation</t>
  </si>
  <si>
    <t>Load Data into Power BI</t>
  </si>
  <si>
    <t>The cleaned and structured financial data was imported into Power BI.</t>
  </si>
  <si>
    <t>Power Query Editor was used to ensure consistency in data types (e.g., converting text to numbers where necessary).</t>
  </si>
  <si>
    <t>Define Relationships</t>
  </si>
  <si>
    <t>Links were established between different tables (Income Statement, Balance Sheet, and Cash Flow) based on common fields such as dates or account codes.</t>
  </si>
  <si>
    <t>Step 3: Building Financial Measures</t>
  </si>
  <si>
    <t>Using DAX for Key Metrics</t>
  </si>
  <si>
    <t>Gross Profit = Revenue - Cost of Sales</t>
  </si>
  <si>
    <t>Operating Margin = Operating Profit / Revenue</t>
  </si>
  <si>
    <t>Net Profit Margin = Net Income / Revenue</t>
  </si>
  <si>
    <t>Year-over-Year (YoY) percentage changes were calculated to identify trends.</t>
  </si>
  <si>
    <t>Step 4: Data Visualization &amp; Dashboard Creation</t>
  </si>
  <si>
    <t>Designing an Interactive Dashboard</t>
  </si>
  <si>
    <t>Visuals were chosen to best represent financial data, including:</t>
  </si>
  <si>
    <t>Bar Charts – Revenue and expense breakdowns</t>
  </si>
  <si>
    <t>Line Charts – Profitability trends over time</t>
  </si>
  <si>
    <t>Pie Charts – Cost structure analysis</t>
  </si>
  <si>
    <t>KPI Cards – Key financial ratios</t>
  </si>
  <si>
    <t>Filters &amp; Slicers for Dynamic Reporting</t>
  </si>
  <si>
    <t>Users can filter by year, quarter, department, or other financial categories to analyze performance from different perspectives.</t>
  </si>
  <si>
    <t>Main category: A broad classification of financial items:</t>
  </si>
  <si>
    <t>Several financial measures to be calculated using DAX, including:</t>
  </si>
  <si>
    <t>The same method will be applied for the balance sheet and cashflow</t>
  </si>
  <si>
    <t>3a.</t>
  </si>
  <si>
    <t>3b</t>
  </si>
  <si>
    <t>Category 2: This column retained the original names of the line items in the Income Statement, allowing for a more detailed breakdown.</t>
  </si>
  <si>
    <t>Asset → Asset</t>
  </si>
  <si>
    <t>Liabilities→ Liabilities</t>
  </si>
  <si>
    <t>Equity → Equity</t>
  </si>
  <si>
    <t>Structuring the Balance Sheet Statement</t>
  </si>
  <si>
    <t>Category 1: A broad classification of financial items:</t>
  </si>
  <si>
    <t>Category 2 This column retained the original names of the line items in the Balance sheet Statement, allowing for a more detailed breakdown.</t>
  </si>
  <si>
    <t>keeping the balance sheet, incliome statement and cashflow statement in different sheets allow for better organization and analysis without data clutter.</t>
  </si>
  <si>
    <t>to ensure the original data remains unchanged and can be referenced if needed.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</si>
</sst>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-[$$-409]* #,##0_ ;_-[$$-409]* \-#,##0\ ;_-[$$-409]* &quot;-&quot;??_ ;_-@_ 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medium">
        <color auto="1"/>
      </top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9">
    <xf numFmtId="0" fontId="0" fillId="0" borderId="0" xfId="0"/>
    <xf numFmtId="164" fontId="2" fillId="0" borderId="1" xfId="0" applyNumberFormat="1" applyFont="1" applyBorder="1" applyAlignment="1">
      <alignment vertical="center"/>
    </xf>
    <xf numFmtId="0" fontId="2" fillId="0" borderId="0" xfId="0" applyFont="1" applyAlignment="1">
      <alignment vertical="center"/>
    </xf>
    <xf numFmtId="164" fontId="0" fillId="0" borderId="0" xfId="0" applyNumberFormat="1" applyAlignment="1">
      <alignment vertical="center"/>
    </xf>
    <xf numFmtId="164" fontId="2" fillId="0" borderId="2" xfId="0" applyNumberFormat="1" applyFont="1" applyBorder="1" applyAlignment="1">
      <alignment vertical="center"/>
    </xf>
    <xf numFmtId="164" fontId="2" fillId="0" borderId="2" xfId="1" applyNumberFormat="1" applyFont="1" applyBorder="1"/>
    <xf numFmtId="164" fontId="0" fillId="0" borderId="0" xfId="1" applyNumberFormat="1" applyFont="1"/>
    <xf numFmtId="0" fontId="0" fillId="0" borderId="0" xfId="0" applyAlignment="1">
      <alignment vertical="center"/>
    </xf>
    <xf numFmtId="164" fontId="2" fillId="0" borderId="0" xfId="0" applyNumberFormat="1" applyFont="1" applyAlignment="1">
      <alignment vertical="center"/>
    </xf>
    <xf numFmtId="0" fontId="2" fillId="0" borderId="0" xfId="0" applyFont="1"/>
    <xf numFmtId="3" fontId="2" fillId="0" borderId="0" xfId="0" applyNumberFormat="1" applyFont="1" applyAlignment="1">
      <alignment vertical="center"/>
    </xf>
    <xf numFmtId="3" fontId="0" fillId="0" borderId="0" xfId="0" applyNumberFormat="1" applyAlignment="1">
      <alignment vertical="center"/>
    </xf>
    <xf numFmtId="0" fontId="3" fillId="0" borderId="0" xfId="0" applyFont="1" applyAlignment="1">
      <alignment vertical="center"/>
    </xf>
    <xf numFmtId="164" fontId="2" fillId="0" borderId="1" xfId="1" applyNumberFormat="1" applyFont="1" applyBorder="1"/>
    <xf numFmtId="164" fontId="2" fillId="0" borderId="3" xfId="1" applyNumberFormat="1" applyFont="1" applyBorder="1"/>
    <xf numFmtId="164" fontId="2" fillId="0" borderId="0" xfId="1" applyNumberFormat="1" applyFont="1" applyBorder="1"/>
    <xf numFmtId="0" fontId="2" fillId="0" borderId="0" xfId="0" applyFont="1" applyAlignment="1">
      <alignment horizontal="center" vertical="center"/>
    </xf>
    <xf numFmtId="0" fontId="2" fillId="2" borderId="0" xfId="0" applyFont="1" applyFill="1" applyAlignment="1">
      <alignment vertical="center"/>
    </xf>
    <xf numFmtId="0" fontId="2" fillId="2" borderId="0" xfId="0" applyFont="1" applyFill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3CC245-CF4A-4DA1-A7C8-EABDB6A30B31}">
  <dimension ref="A1:G70"/>
  <sheetViews>
    <sheetView zoomScale="120" zoomScaleNormal="120" workbookViewId="0">
      <pane ySplit="4" topLeftCell="A45" activePane="bottomLeft" state="frozen"/>
      <selection pane="bottomLeft" activeCell="B13" sqref="B13"/>
    </sheetView>
  </sheetViews>
  <sheetFormatPr defaultRowHeight="14.4" x14ac:dyDescent="0.3"/>
  <cols>
    <col min="3" max="3" width="40.109375" bestFit="1" customWidth="1"/>
    <col min="4" max="4" width="4.88671875" customWidth="1"/>
    <col min="5" max="7" width="15" bestFit="1" customWidth="1"/>
  </cols>
  <sheetData>
    <row r="1" spans="1:7" x14ac:dyDescent="0.3">
      <c r="A1" s="9" t="s">
        <v>54</v>
      </c>
    </row>
    <row r="2" spans="1:7" x14ac:dyDescent="0.3">
      <c r="A2" s="9" t="s">
        <v>53</v>
      </c>
    </row>
    <row r="4" spans="1:7" x14ac:dyDescent="0.3">
      <c r="C4" s="9" t="s">
        <v>52</v>
      </c>
      <c r="D4" s="9"/>
      <c r="E4" s="16">
        <v>2021</v>
      </c>
      <c r="F4" s="16">
        <v>2022</v>
      </c>
      <c r="G4" s="16">
        <v>2023</v>
      </c>
    </row>
    <row r="5" spans="1:7" x14ac:dyDescent="0.3">
      <c r="C5" s="2" t="s">
        <v>51</v>
      </c>
      <c r="D5" s="2"/>
      <c r="E5" s="3">
        <v>12000000</v>
      </c>
      <c r="F5" s="3">
        <v>12600000</v>
      </c>
      <c r="G5" s="3">
        <v>13200000</v>
      </c>
    </row>
    <row r="6" spans="1:7" x14ac:dyDescent="0.3">
      <c r="C6" s="2" t="s">
        <v>50</v>
      </c>
      <c r="D6" s="2"/>
      <c r="E6" s="6">
        <v>-8000000</v>
      </c>
      <c r="F6" s="6">
        <v>-8500000</v>
      </c>
      <c r="G6" s="6">
        <v>-9000000</v>
      </c>
    </row>
    <row r="7" spans="1:7" x14ac:dyDescent="0.3">
      <c r="C7" s="17" t="s">
        <v>49</v>
      </c>
      <c r="D7" s="2"/>
      <c r="E7" s="4">
        <f>E5+E6</f>
        <v>4000000</v>
      </c>
      <c r="F7" s="4">
        <f>F5+F6</f>
        <v>4100000</v>
      </c>
      <c r="G7" s="4">
        <f>G5+G6</f>
        <v>4200000</v>
      </c>
    </row>
    <row r="8" spans="1:7" x14ac:dyDescent="0.3">
      <c r="C8" s="2" t="s">
        <v>48</v>
      </c>
      <c r="D8" s="2"/>
      <c r="E8" s="3"/>
      <c r="F8" s="3"/>
      <c r="G8" s="3"/>
    </row>
    <row r="9" spans="1:7" x14ac:dyDescent="0.3">
      <c r="C9" s="7" t="s">
        <v>47</v>
      </c>
      <c r="D9" s="7"/>
      <c r="E9" s="6">
        <v>-1200000</v>
      </c>
      <c r="F9" s="6">
        <v>-1500000</v>
      </c>
      <c r="G9" s="6">
        <v>-1800000</v>
      </c>
    </row>
    <row r="10" spans="1:7" x14ac:dyDescent="0.3">
      <c r="C10" s="7" t="s">
        <v>46</v>
      </c>
      <c r="D10" s="7"/>
      <c r="E10" s="6">
        <v>-1000000</v>
      </c>
      <c r="F10" s="6">
        <v>-1200000</v>
      </c>
      <c r="G10" s="6">
        <v>-1400000</v>
      </c>
    </row>
    <row r="11" spans="1:7" x14ac:dyDescent="0.3">
      <c r="C11" s="7" t="s">
        <v>45</v>
      </c>
      <c r="D11" s="7"/>
      <c r="E11" s="6">
        <v>-200000</v>
      </c>
      <c r="F11" s="6">
        <v>-250000</v>
      </c>
      <c r="G11" s="6">
        <v>-300000</v>
      </c>
    </row>
    <row r="12" spans="1:7" ht="15" thickBot="1" x14ac:dyDescent="0.35">
      <c r="C12" s="7" t="s">
        <v>44</v>
      </c>
      <c r="D12" s="7"/>
      <c r="E12" s="6">
        <v>-100000</v>
      </c>
      <c r="F12" s="6">
        <v>-175000</v>
      </c>
      <c r="G12" s="6">
        <v>-250000</v>
      </c>
    </row>
    <row r="13" spans="1:7" x14ac:dyDescent="0.3">
      <c r="C13" s="17" t="s">
        <v>43</v>
      </c>
      <c r="D13" s="2"/>
      <c r="E13" s="14">
        <f>SUM(E9:E12)</f>
        <v>-2500000</v>
      </c>
      <c r="F13" s="14">
        <f>SUM(F9:F12)</f>
        <v>-3125000</v>
      </c>
      <c r="G13" s="14">
        <f>SUM(G9:G12)</f>
        <v>-3750000</v>
      </c>
    </row>
    <row r="14" spans="1:7" x14ac:dyDescent="0.3">
      <c r="C14" s="17" t="s">
        <v>42</v>
      </c>
      <c r="D14" s="2"/>
      <c r="E14" s="15">
        <f>E7+E13</f>
        <v>1500000</v>
      </c>
      <c r="F14" s="15">
        <f>F7+F13</f>
        <v>975000</v>
      </c>
      <c r="G14" s="15">
        <f>G7+G13</f>
        <v>450000</v>
      </c>
    </row>
    <row r="15" spans="1:7" ht="15" thickBot="1" x14ac:dyDescent="0.35">
      <c r="C15" s="2" t="s">
        <v>41</v>
      </c>
      <c r="D15" s="2"/>
      <c r="E15" s="6">
        <v>-400000</v>
      </c>
      <c r="F15" s="6">
        <v>-450000</v>
      </c>
      <c r="G15" s="6">
        <v>-500000</v>
      </c>
    </row>
    <row r="16" spans="1:7" x14ac:dyDescent="0.3">
      <c r="C16" s="17" t="s">
        <v>40</v>
      </c>
      <c r="D16" s="2"/>
      <c r="E16" s="14">
        <f>E14+E15</f>
        <v>1100000</v>
      </c>
      <c r="F16" s="14">
        <f>F14+F15</f>
        <v>525000</v>
      </c>
      <c r="G16" s="14">
        <f>G14+G15</f>
        <v>-50000</v>
      </c>
    </row>
    <row r="17" spans="3:7" ht="15" thickBot="1" x14ac:dyDescent="0.35">
      <c r="C17" s="2" t="s">
        <v>39</v>
      </c>
      <c r="D17" s="2"/>
      <c r="E17" s="6">
        <v>-200000</v>
      </c>
      <c r="F17" s="6">
        <v>-250000</v>
      </c>
      <c r="G17" s="6">
        <v>-300000</v>
      </c>
    </row>
    <row r="18" spans="3:7" x14ac:dyDescent="0.3">
      <c r="C18" s="18" t="s">
        <v>38</v>
      </c>
      <c r="D18" s="2"/>
      <c r="E18" s="14">
        <f>E16+E17</f>
        <v>900000</v>
      </c>
      <c r="F18" s="14">
        <f>F16+F17</f>
        <v>275000</v>
      </c>
      <c r="G18" s="14">
        <f>G16+G17</f>
        <v>-350000</v>
      </c>
    </row>
    <row r="19" spans="3:7" x14ac:dyDescent="0.3">
      <c r="C19" s="2" t="s">
        <v>37</v>
      </c>
      <c r="D19" s="2"/>
      <c r="E19" s="3">
        <v>170000</v>
      </c>
      <c r="F19" s="3">
        <v>125000</v>
      </c>
      <c r="G19" s="3">
        <v>150000</v>
      </c>
    </row>
    <row r="20" spans="3:7" ht="15" thickBot="1" x14ac:dyDescent="0.35">
      <c r="C20" s="17" t="s">
        <v>12</v>
      </c>
      <c r="D20" s="2"/>
      <c r="E20" s="13">
        <f>E18-E19</f>
        <v>730000</v>
      </c>
      <c r="F20" s="13">
        <f>F18-F19</f>
        <v>150000</v>
      </c>
      <c r="G20" s="13">
        <f>G18-G19</f>
        <v>-500000</v>
      </c>
    </row>
    <row r="21" spans="3:7" ht="15" thickTop="1" x14ac:dyDescent="0.3">
      <c r="E21" s="3"/>
      <c r="F21" s="3"/>
      <c r="G21" s="3"/>
    </row>
    <row r="24" spans="3:7" ht="15.6" x14ac:dyDescent="0.3">
      <c r="C24" s="12" t="s">
        <v>36</v>
      </c>
      <c r="D24" s="2"/>
      <c r="E24" s="2">
        <v>2021</v>
      </c>
      <c r="F24" s="2">
        <v>2022</v>
      </c>
      <c r="G24" s="2">
        <v>2023</v>
      </c>
    </row>
    <row r="25" spans="3:7" x14ac:dyDescent="0.3">
      <c r="C25" s="2" t="s">
        <v>35</v>
      </c>
      <c r="D25" s="2"/>
      <c r="E25" s="10">
        <v>2000000</v>
      </c>
      <c r="F25" s="10">
        <f>E27</f>
        <v>2730000</v>
      </c>
      <c r="G25" s="10">
        <f>F27</f>
        <v>2880000</v>
      </c>
    </row>
    <row r="26" spans="3:7" x14ac:dyDescent="0.3">
      <c r="C26" s="2" t="s">
        <v>12</v>
      </c>
      <c r="D26" s="2"/>
      <c r="E26" s="11">
        <f>E20</f>
        <v>730000</v>
      </c>
      <c r="F26" s="11">
        <f>F20</f>
        <v>150000</v>
      </c>
      <c r="G26" s="11">
        <f>G20</f>
        <v>-500000</v>
      </c>
    </row>
    <row r="27" spans="3:7" x14ac:dyDescent="0.3">
      <c r="C27" s="2" t="s">
        <v>34</v>
      </c>
      <c r="D27" s="2"/>
      <c r="E27" s="10">
        <f>E25+E26</f>
        <v>2730000</v>
      </c>
      <c r="F27" s="10">
        <f>F25+F26</f>
        <v>2880000</v>
      </c>
      <c r="G27" s="10">
        <f>G25+G26</f>
        <v>2380000</v>
      </c>
    </row>
    <row r="30" spans="3:7" x14ac:dyDescent="0.3">
      <c r="C30" s="9" t="s">
        <v>33</v>
      </c>
      <c r="D30" s="2"/>
      <c r="E30" s="2">
        <v>2021</v>
      </c>
      <c r="F30" s="2">
        <v>2022</v>
      </c>
      <c r="G30" s="2">
        <v>2023</v>
      </c>
    </row>
    <row r="31" spans="3:7" x14ac:dyDescent="0.3">
      <c r="C31" s="2" t="s">
        <v>32</v>
      </c>
      <c r="D31" s="2"/>
      <c r="E31" s="7"/>
      <c r="F31" s="7"/>
      <c r="G31" s="7"/>
    </row>
    <row r="32" spans="3:7" x14ac:dyDescent="0.3">
      <c r="C32" s="2" t="s">
        <v>31</v>
      </c>
      <c r="D32" s="2"/>
      <c r="E32" s="7"/>
      <c r="F32" s="7"/>
      <c r="G32" s="7"/>
    </row>
    <row r="33" spans="3:7" x14ac:dyDescent="0.3">
      <c r="C33" s="7" t="s">
        <v>30</v>
      </c>
      <c r="D33" s="7"/>
      <c r="E33" s="3">
        <f>E69</f>
        <v>1920000</v>
      </c>
      <c r="F33" s="3">
        <f>F69</f>
        <v>1920000</v>
      </c>
      <c r="G33" s="3">
        <f>G69</f>
        <v>1320000</v>
      </c>
    </row>
    <row r="34" spans="3:7" x14ac:dyDescent="0.3">
      <c r="C34" s="7" t="s">
        <v>29</v>
      </c>
      <c r="D34" s="7"/>
      <c r="E34" s="3">
        <v>1000000</v>
      </c>
      <c r="F34" s="3">
        <v>1100000</v>
      </c>
      <c r="G34" s="3">
        <v>1200000</v>
      </c>
    </row>
    <row r="35" spans="3:7" x14ac:dyDescent="0.3">
      <c r="C35" s="7" t="s">
        <v>28</v>
      </c>
      <c r="D35" s="7"/>
      <c r="E35" s="3">
        <v>500000</v>
      </c>
      <c r="F35" s="3">
        <v>500000</v>
      </c>
      <c r="G35" s="3">
        <v>500000</v>
      </c>
    </row>
    <row r="36" spans="3:7" x14ac:dyDescent="0.3">
      <c r="C36" s="7" t="s">
        <v>27</v>
      </c>
      <c r="D36" s="7"/>
      <c r="E36" s="3">
        <v>80000</v>
      </c>
      <c r="F36" s="3">
        <v>85000</v>
      </c>
      <c r="G36" s="3">
        <v>95000</v>
      </c>
    </row>
    <row r="37" spans="3:7" x14ac:dyDescent="0.3">
      <c r="C37" s="17" t="s">
        <v>26</v>
      </c>
      <c r="D37" s="2"/>
      <c r="E37" s="8">
        <f>SUM(E33:E36)</f>
        <v>3500000</v>
      </c>
      <c r="F37" s="8">
        <f>SUM(F33:F36)</f>
        <v>3605000</v>
      </c>
      <c r="G37" s="8">
        <f>SUM(G33:G36)</f>
        <v>3115000</v>
      </c>
    </row>
    <row r="38" spans="3:7" x14ac:dyDescent="0.3">
      <c r="C38" s="2" t="s">
        <v>25</v>
      </c>
      <c r="D38" s="2"/>
      <c r="E38" s="8">
        <v>7730000</v>
      </c>
      <c r="F38" s="8">
        <v>7875000</v>
      </c>
      <c r="G38" s="8">
        <v>7965000</v>
      </c>
    </row>
    <row r="39" spans="3:7" ht="15" thickBot="1" x14ac:dyDescent="0.35">
      <c r="C39" s="17" t="s">
        <v>24</v>
      </c>
      <c r="D39" s="2"/>
      <c r="E39" s="1">
        <f>SUM(E37:E38)</f>
        <v>11230000</v>
      </c>
      <c r="F39" s="1">
        <f>SUM(F37:F38)</f>
        <v>11480000</v>
      </c>
      <c r="G39" s="1">
        <f>SUM(G37:G38)</f>
        <v>11080000</v>
      </c>
    </row>
    <row r="40" spans="3:7" ht="15" thickTop="1" x14ac:dyDescent="0.3">
      <c r="C40" s="2"/>
      <c r="D40" s="2"/>
      <c r="E40" s="8"/>
      <c r="F40" s="8"/>
      <c r="G40" s="8"/>
    </row>
    <row r="41" spans="3:7" x14ac:dyDescent="0.3">
      <c r="C41" s="2" t="s">
        <v>23</v>
      </c>
      <c r="D41" s="2"/>
      <c r="E41" s="3"/>
      <c r="F41" s="3"/>
      <c r="G41" s="3"/>
    </row>
    <row r="42" spans="3:7" x14ac:dyDescent="0.3">
      <c r="C42" s="2" t="s">
        <v>22</v>
      </c>
      <c r="D42" s="2"/>
      <c r="E42" s="3">
        <v>2000000</v>
      </c>
      <c r="F42" s="3">
        <v>2100000</v>
      </c>
      <c r="G42" s="3">
        <v>2200000</v>
      </c>
    </row>
    <row r="43" spans="3:7" x14ac:dyDescent="0.3">
      <c r="C43" s="2" t="s">
        <v>21</v>
      </c>
      <c r="D43" s="2"/>
      <c r="E43" s="3">
        <v>3500000</v>
      </c>
      <c r="F43" s="3">
        <v>3500000</v>
      </c>
      <c r="G43" s="3">
        <v>3500000</v>
      </c>
    </row>
    <row r="44" spans="3:7" x14ac:dyDescent="0.3">
      <c r="C44" s="17" t="s">
        <v>20</v>
      </c>
      <c r="D44" s="2"/>
      <c r="E44" s="4">
        <f>SUM(E42:E43)</f>
        <v>5500000</v>
      </c>
      <c r="F44" s="4">
        <f>SUM(F42:F43)</f>
        <v>5600000</v>
      </c>
      <c r="G44" s="4">
        <f>SUM(G42:G43)</f>
        <v>5700000</v>
      </c>
    </row>
    <row r="45" spans="3:7" x14ac:dyDescent="0.3">
      <c r="C45" s="2" t="s">
        <v>19</v>
      </c>
      <c r="D45" s="2"/>
      <c r="E45" s="3"/>
      <c r="F45" s="3"/>
      <c r="G45" s="3"/>
    </row>
    <row r="46" spans="3:7" x14ac:dyDescent="0.3">
      <c r="C46" s="2" t="s">
        <v>18</v>
      </c>
      <c r="D46" s="2"/>
      <c r="E46" s="3">
        <v>3000000</v>
      </c>
      <c r="F46" s="3">
        <v>3000000</v>
      </c>
      <c r="G46" s="3">
        <v>3000000</v>
      </c>
    </row>
    <row r="47" spans="3:7" x14ac:dyDescent="0.3">
      <c r="C47" s="2" t="s">
        <v>17</v>
      </c>
      <c r="D47" s="2"/>
      <c r="E47" s="8">
        <f>E27</f>
        <v>2730000</v>
      </c>
      <c r="F47" s="8">
        <f>F27</f>
        <v>2880000</v>
      </c>
      <c r="G47" s="8">
        <f>G27</f>
        <v>2380000</v>
      </c>
    </row>
    <row r="48" spans="3:7" x14ac:dyDescent="0.3">
      <c r="C48" s="17" t="s">
        <v>16</v>
      </c>
      <c r="D48" s="2"/>
      <c r="E48" s="3">
        <f>SUM(E46:E47)</f>
        <v>5730000</v>
      </c>
      <c r="F48" s="3">
        <f>SUM(F46:F47)</f>
        <v>5880000</v>
      </c>
      <c r="G48" s="3">
        <f>SUM(G46:G47)</f>
        <v>5380000</v>
      </c>
    </row>
    <row r="49" spans="3:7" ht="15" thickBot="1" x14ac:dyDescent="0.35">
      <c r="C49" s="17" t="s">
        <v>15</v>
      </c>
      <c r="D49" s="2"/>
      <c r="E49" s="1">
        <f>E44+E48</f>
        <v>11230000</v>
      </c>
      <c r="F49" s="1">
        <f>F44+F48</f>
        <v>11480000</v>
      </c>
      <c r="G49" s="1">
        <f>G44+G48</f>
        <v>11080000</v>
      </c>
    </row>
    <row r="50" spans="3:7" ht="15" thickTop="1" x14ac:dyDescent="0.3"/>
    <row r="52" spans="3:7" x14ac:dyDescent="0.3">
      <c r="C52" s="2" t="s">
        <v>14</v>
      </c>
      <c r="D52" s="2"/>
      <c r="E52" s="2">
        <v>2021</v>
      </c>
      <c r="F52" s="2">
        <v>2022</v>
      </c>
      <c r="G52" s="2">
        <v>2023</v>
      </c>
    </row>
    <row r="53" spans="3:7" x14ac:dyDescent="0.3">
      <c r="C53" s="2" t="s">
        <v>13</v>
      </c>
      <c r="D53" s="2"/>
      <c r="E53" s="7"/>
      <c r="F53" s="7"/>
      <c r="G53" s="7"/>
    </row>
    <row r="54" spans="3:7" x14ac:dyDescent="0.3">
      <c r="C54" s="7" t="s">
        <v>12</v>
      </c>
      <c r="D54" s="7"/>
      <c r="E54" s="3">
        <f>E20</f>
        <v>730000</v>
      </c>
      <c r="F54" s="3">
        <f>F20</f>
        <v>150000</v>
      </c>
      <c r="G54" s="3">
        <f>G20</f>
        <v>-500000</v>
      </c>
    </row>
    <row r="55" spans="3:7" x14ac:dyDescent="0.3">
      <c r="C55" s="7" t="s">
        <v>11</v>
      </c>
      <c r="D55" s="7"/>
      <c r="E55" s="3">
        <v>500000</v>
      </c>
      <c r="F55" s="3">
        <v>500000</v>
      </c>
      <c r="G55" s="3">
        <v>500000</v>
      </c>
    </row>
    <row r="56" spans="3:7" x14ac:dyDescent="0.3">
      <c r="C56" s="7" t="s">
        <v>10</v>
      </c>
      <c r="D56" s="7"/>
      <c r="E56" s="6">
        <v>-150000</v>
      </c>
      <c r="F56" s="6">
        <v>-200000</v>
      </c>
      <c r="G56" s="6">
        <v>-250000</v>
      </c>
    </row>
    <row r="57" spans="3:7" x14ac:dyDescent="0.3">
      <c r="C57" s="2" t="s">
        <v>9</v>
      </c>
      <c r="D57" s="2"/>
      <c r="E57" s="5">
        <f>SUM(E54:E56)</f>
        <v>1080000</v>
      </c>
      <c r="F57" s="5">
        <f>SUM(F54:F56)</f>
        <v>450000</v>
      </c>
      <c r="G57" s="5">
        <f>SUM(G54:G56)</f>
        <v>-250000</v>
      </c>
    </row>
    <row r="58" spans="3:7" x14ac:dyDescent="0.3">
      <c r="C58" s="2"/>
      <c r="D58" s="2"/>
      <c r="E58" s="8"/>
      <c r="F58" s="8"/>
      <c r="G58" s="8"/>
    </row>
    <row r="59" spans="3:7" x14ac:dyDescent="0.3">
      <c r="C59" s="2" t="s">
        <v>8</v>
      </c>
      <c r="D59" s="2"/>
      <c r="E59" s="3"/>
      <c r="F59" s="3"/>
      <c r="G59" s="3"/>
    </row>
    <row r="60" spans="3:7" x14ac:dyDescent="0.3">
      <c r="C60" s="7" t="s">
        <v>7</v>
      </c>
      <c r="D60" s="7"/>
      <c r="E60" s="6">
        <v>-500000</v>
      </c>
      <c r="F60" s="6">
        <v>-350000</v>
      </c>
      <c r="G60" s="6">
        <v>-250000</v>
      </c>
    </row>
    <row r="61" spans="3:7" x14ac:dyDescent="0.3">
      <c r="C61" s="2" t="s">
        <v>6</v>
      </c>
      <c r="D61" s="2"/>
      <c r="E61" s="5">
        <f>SUM(E60)</f>
        <v>-500000</v>
      </c>
      <c r="F61" s="5">
        <f>SUM(F60)</f>
        <v>-350000</v>
      </c>
      <c r="G61" s="5">
        <f>SUM(G60)</f>
        <v>-250000</v>
      </c>
    </row>
    <row r="62" spans="3:7" x14ac:dyDescent="0.3">
      <c r="C62" s="2"/>
      <c r="D62" s="2"/>
      <c r="E62" s="3"/>
      <c r="F62" s="3"/>
      <c r="G62" s="3"/>
    </row>
    <row r="63" spans="3:7" x14ac:dyDescent="0.3">
      <c r="C63" s="2" t="s">
        <v>5</v>
      </c>
      <c r="D63" s="2"/>
      <c r="E63" s="3"/>
      <c r="F63" s="3"/>
      <c r="G63" s="3"/>
    </row>
    <row r="64" spans="3:7" x14ac:dyDescent="0.3">
      <c r="C64" s="7" t="s">
        <v>4</v>
      </c>
      <c r="D64" s="7"/>
      <c r="E64" s="6">
        <v>-100000</v>
      </c>
      <c r="F64" s="6">
        <v>-100000</v>
      </c>
      <c r="G64" s="6">
        <v>-100000</v>
      </c>
    </row>
    <row r="65" spans="3:7" x14ac:dyDescent="0.3">
      <c r="C65" s="2" t="s">
        <v>3</v>
      </c>
      <c r="D65" s="2"/>
      <c r="E65" s="5">
        <f>SUM(E64)</f>
        <v>-100000</v>
      </c>
      <c r="F65" s="5">
        <f>SUM(F64)</f>
        <v>-100000</v>
      </c>
      <c r="G65" s="5">
        <f>SUM(G64)</f>
        <v>-100000</v>
      </c>
    </row>
    <row r="66" spans="3:7" x14ac:dyDescent="0.3">
      <c r="C66" s="2"/>
      <c r="D66" s="2"/>
      <c r="E66" s="3"/>
      <c r="F66" s="3"/>
      <c r="G66" s="3"/>
    </row>
    <row r="67" spans="3:7" x14ac:dyDescent="0.3">
      <c r="C67" s="2" t="s">
        <v>2</v>
      </c>
      <c r="D67" s="2"/>
      <c r="E67" s="4">
        <f>SUM(E57,E61,E65)</f>
        <v>480000</v>
      </c>
      <c r="F67" s="4">
        <f>SUM(F57,F61,F65)</f>
        <v>0</v>
      </c>
      <c r="G67" s="4">
        <f>SUM(G57,G61,G65)</f>
        <v>-600000</v>
      </c>
    </row>
    <row r="68" spans="3:7" x14ac:dyDescent="0.3">
      <c r="C68" s="2" t="s">
        <v>1</v>
      </c>
      <c r="D68" s="2"/>
      <c r="E68" s="3">
        <v>1440000</v>
      </c>
      <c r="F68" s="3">
        <f>E69</f>
        <v>1920000</v>
      </c>
      <c r="G68" s="3">
        <f>F69</f>
        <v>1920000</v>
      </c>
    </row>
    <row r="69" spans="3:7" ht="15" thickBot="1" x14ac:dyDescent="0.35">
      <c r="C69" s="2" t="s">
        <v>0</v>
      </c>
      <c r="D69" s="2"/>
      <c r="E69" s="1">
        <f>E67+E68</f>
        <v>1920000</v>
      </c>
      <c r="F69" s="1">
        <f>F67+F68</f>
        <v>1920000</v>
      </c>
      <c r="G69" s="1">
        <f>G67+G68</f>
        <v>1320000</v>
      </c>
    </row>
    <row r="70" spans="3:7" ht="15" thickTop="1" x14ac:dyDescent="0.3"/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7B2691-8288-465D-84CC-6C415EF9ED54}">
  <dimension ref="B2:D48"/>
  <sheetViews>
    <sheetView tabSelected="1" zoomScale="140" zoomScaleNormal="140" workbookViewId="0">
      <selection activeCell="B10" sqref="B10"/>
    </sheetView>
  </sheetViews>
  <sheetFormatPr defaultColWidth="9.109375" defaultRowHeight="14.4" x14ac:dyDescent="0.3"/>
  <cols>
    <col min="1" max="16384" width="9.109375" style="9"/>
  </cols>
  <sheetData>
    <row r="2" spans="2:4" x14ac:dyDescent="0.3">
      <c r="B2" s="9" t="s">
        <v>64</v>
      </c>
    </row>
    <row r="4" spans="2:4" x14ac:dyDescent="0.3">
      <c r="B4" s="9" t="s">
        <v>55</v>
      </c>
    </row>
    <row r="5" spans="2:4" x14ac:dyDescent="0.3">
      <c r="C5" s="9">
        <v>1</v>
      </c>
      <c r="D5" s="9" t="s">
        <v>56</v>
      </c>
    </row>
    <row r="6" spans="2:4" x14ac:dyDescent="0.3">
      <c r="C6" s="9" t="s">
        <v>57</v>
      </c>
      <c r="D6" s="9" t="s">
        <v>99</v>
      </c>
    </row>
    <row r="7" spans="2:4" x14ac:dyDescent="0.3">
      <c r="C7" s="9">
        <v>2</v>
      </c>
      <c r="D7" s="9" t="s">
        <v>58</v>
      </c>
    </row>
    <row r="8" spans="2:4" x14ac:dyDescent="0.3">
      <c r="C8" s="9" t="s">
        <v>57</v>
      </c>
      <c r="D8" s="9" t="s">
        <v>98</v>
      </c>
    </row>
    <row r="9" spans="2:4" x14ac:dyDescent="0.3">
      <c r="C9" s="9" t="s">
        <v>89</v>
      </c>
      <c r="D9" s="9" t="s">
        <v>59</v>
      </c>
    </row>
    <row r="10" spans="2:4" x14ac:dyDescent="0.3">
      <c r="C10" s="9" t="s">
        <v>57</v>
      </c>
      <c r="D10" s="9" t="s">
        <v>86</v>
      </c>
    </row>
    <row r="11" spans="2:4" x14ac:dyDescent="0.3">
      <c r="C11" s="9" t="s">
        <v>57</v>
      </c>
      <c r="D11" s="9" t="s">
        <v>60</v>
      </c>
    </row>
    <row r="12" spans="2:4" x14ac:dyDescent="0.3">
      <c r="C12" s="9" t="s">
        <v>57</v>
      </c>
      <c r="D12" s="9" t="s">
        <v>61</v>
      </c>
    </row>
    <row r="13" spans="2:4" x14ac:dyDescent="0.3">
      <c r="C13" s="9" t="s">
        <v>57</v>
      </c>
      <c r="D13" s="9" t="s">
        <v>62</v>
      </c>
    </row>
    <row r="14" spans="2:4" x14ac:dyDescent="0.3">
      <c r="C14" s="9" t="s">
        <v>57</v>
      </c>
      <c r="D14" s="9" t="s">
        <v>63</v>
      </c>
    </row>
    <row r="15" spans="2:4" x14ac:dyDescent="0.3">
      <c r="C15" s="9" t="s">
        <v>57</v>
      </c>
      <c r="D15" s="9" t="s">
        <v>91</v>
      </c>
    </row>
    <row r="17" spans="2:4" x14ac:dyDescent="0.3">
      <c r="C17" s="9" t="s">
        <v>90</v>
      </c>
      <c r="D17" s="9" t="s">
        <v>95</v>
      </c>
    </row>
    <row r="18" spans="2:4" x14ac:dyDescent="0.3">
      <c r="C18" s="9" t="s">
        <v>57</v>
      </c>
      <c r="D18" s="9" t="s">
        <v>96</v>
      </c>
    </row>
    <row r="19" spans="2:4" x14ac:dyDescent="0.3">
      <c r="C19" s="9" t="s">
        <v>57</v>
      </c>
      <c r="D19" s="9" t="s">
        <v>92</v>
      </c>
    </row>
    <row r="20" spans="2:4" x14ac:dyDescent="0.3">
      <c r="C20" s="9" t="s">
        <v>57</v>
      </c>
      <c r="D20" s="9" t="s">
        <v>93</v>
      </c>
    </row>
    <row r="21" spans="2:4" x14ac:dyDescent="0.3">
      <c r="C21" s="9" t="s">
        <v>57</v>
      </c>
      <c r="D21" s="9" t="s">
        <v>94</v>
      </c>
    </row>
    <row r="22" spans="2:4" x14ac:dyDescent="0.3">
      <c r="C22" s="9" t="s">
        <v>57</v>
      </c>
      <c r="D22" s="9" t="s">
        <v>97</v>
      </c>
    </row>
    <row r="23" spans="2:4" x14ac:dyDescent="0.3">
      <c r="D23" s="9" t="s">
        <v>88</v>
      </c>
    </row>
    <row r="25" spans="2:4" x14ac:dyDescent="0.3">
      <c r="B25" s="9" t="s">
        <v>65</v>
      </c>
    </row>
    <row r="26" spans="2:4" x14ac:dyDescent="0.3">
      <c r="C26" s="9">
        <v>1</v>
      </c>
      <c r="D26" s="9" t="s">
        <v>66</v>
      </c>
    </row>
    <row r="27" spans="2:4" x14ac:dyDescent="0.3">
      <c r="C27" s="9" t="s">
        <v>57</v>
      </c>
      <c r="D27" s="9" t="s">
        <v>67</v>
      </c>
    </row>
    <row r="28" spans="2:4" x14ac:dyDescent="0.3">
      <c r="C28" s="9" t="s">
        <v>57</v>
      </c>
      <c r="D28" s="9" t="s">
        <v>68</v>
      </c>
    </row>
    <row r="29" spans="2:4" x14ac:dyDescent="0.3">
      <c r="C29" s="9">
        <v>2</v>
      </c>
      <c r="D29" s="9" t="s">
        <v>69</v>
      </c>
    </row>
    <row r="30" spans="2:4" x14ac:dyDescent="0.3">
      <c r="C30" s="9" t="s">
        <v>57</v>
      </c>
      <c r="D30" s="9" t="s">
        <v>70</v>
      </c>
    </row>
    <row r="32" spans="2:4" x14ac:dyDescent="0.3">
      <c r="B32" s="9" t="s">
        <v>71</v>
      </c>
    </row>
    <row r="33" spans="2:4" x14ac:dyDescent="0.3">
      <c r="D33" s="9" t="s">
        <v>72</v>
      </c>
    </row>
    <row r="34" spans="2:4" x14ac:dyDescent="0.3">
      <c r="C34" s="9" t="s">
        <v>57</v>
      </c>
      <c r="D34" s="9" t="s">
        <v>87</v>
      </c>
    </row>
    <row r="35" spans="2:4" x14ac:dyDescent="0.3">
      <c r="C35" s="9" t="s">
        <v>57</v>
      </c>
      <c r="D35" s="9" t="s">
        <v>73</v>
      </c>
    </row>
    <row r="36" spans="2:4" x14ac:dyDescent="0.3">
      <c r="C36" s="9" t="s">
        <v>57</v>
      </c>
      <c r="D36" s="9" t="s">
        <v>74</v>
      </c>
    </row>
    <row r="37" spans="2:4" x14ac:dyDescent="0.3">
      <c r="C37" s="9" t="s">
        <v>57</v>
      </c>
      <c r="D37" s="9" t="s">
        <v>75</v>
      </c>
    </row>
    <row r="38" spans="2:4" x14ac:dyDescent="0.3">
      <c r="C38" s="9" t="s">
        <v>57</v>
      </c>
      <c r="D38" s="9" t="s">
        <v>76</v>
      </c>
    </row>
    <row r="40" spans="2:4" x14ac:dyDescent="0.3">
      <c r="B40" s="9" t="s">
        <v>77</v>
      </c>
    </row>
    <row r="41" spans="2:4" x14ac:dyDescent="0.3">
      <c r="C41" s="9">
        <v>1</v>
      </c>
      <c r="D41" s="9" t="s">
        <v>78</v>
      </c>
    </row>
    <row r="42" spans="2:4" x14ac:dyDescent="0.3">
      <c r="C42" s="9" t="s">
        <v>57</v>
      </c>
      <c r="D42" s="9" t="s">
        <v>79</v>
      </c>
    </row>
    <row r="43" spans="2:4" x14ac:dyDescent="0.3">
      <c r="C43" s="9" t="s">
        <v>57</v>
      </c>
      <c r="D43" s="9" t="s">
        <v>80</v>
      </c>
    </row>
    <row r="44" spans="2:4" x14ac:dyDescent="0.3">
      <c r="C44" s="9" t="s">
        <v>57</v>
      </c>
      <c r="D44" s="9" t="s">
        <v>81</v>
      </c>
    </row>
    <row r="45" spans="2:4" x14ac:dyDescent="0.3">
      <c r="C45" s="9" t="s">
        <v>57</v>
      </c>
      <c r="D45" s="9" t="s">
        <v>82</v>
      </c>
    </row>
    <row r="46" spans="2:4" x14ac:dyDescent="0.3">
      <c r="C46" s="9" t="s">
        <v>57</v>
      </c>
      <c r="D46" s="9" t="s">
        <v>83</v>
      </c>
    </row>
    <row r="47" spans="2:4" x14ac:dyDescent="0.3">
      <c r="C47" s="9">
        <v>2</v>
      </c>
      <c r="D47" s="9" t="s">
        <v>84</v>
      </c>
    </row>
    <row r="48" spans="2:4" x14ac:dyDescent="0.3">
      <c r="C48" s="9" t="s">
        <v>57</v>
      </c>
      <c r="D48" s="9" t="s">
        <v>85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Bluewave</vt:lpstr>
      <vt:lpstr>STEPS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Oluwaseun Olugbode</dc:creator>
  <cp:lastModifiedBy>Bolutife Fuwape</cp:lastModifiedBy>
  <dcterms:created xsi:type="dcterms:W3CDTF">2024-12-13T10:12:19Z</dcterms:created>
  <dcterms:modified xsi:type="dcterms:W3CDTF">2026-06-17T22:54:03Z</dcterms:modified>
</cp:coreProperties>
</file>